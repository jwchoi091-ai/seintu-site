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재고" sheetId="2" state="visible" r:id="rId2"/>
    <sheet xmlns:r="http://schemas.openxmlformats.org/officeDocument/2006/relationships" name="거래" sheetId="3" state="visible" r:id="rId3"/>
    <sheet xmlns:r="http://schemas.openxmlformats.org/officeDocument/2006/relationships" name="협력농가" sheetId="4" state="visible" r:id="rId4"/>
    <sheet xmlns:r="http://schemas.openxmlformats.org/officeDocument/2006/relationships" name="교육" sheetId="5" state="visible" r:id="rId5"/>
    <sheet xmlns:r="http://schemas.openxmlformats.org/officeDocument/2006/relationships" name="대시보드" sheetId="6" state="visible" r:id="rId6"/>
    <sheet xmlns:r="http://schemas.openxmlformats.org/officeDocument/2006/relationships" name="견적서" sheetId="7" state="visible" r:id="rId7"/>
  </sheets>
  <definedNames>
    <definedName name="_xlnm._FilterDatabase" localSheetId="1" hidden="1">'재고'!$A$1:$R$1</definedName>
    <definedName name="_xlnm._FilterDatabase" localSheetId="2" hidden="1">'거래'!$A$1:$L$1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₩#,##0;(₩#,##0);&quot;-&quot;"/>
    <numFmt numFmtId="166" formatCode="yyyy-mm-dd"/>
    <numFmt numFmtId="167" formatCode="0.0"/>
  </numFmts>
  <fonts count="17">
    <font>
      <name val="Calibri"/>
      <family val="2"/>
      <color theme="1"/>
      <sz val="11"/>
      <scheme val="minor"/>
    </font>
    <font>
      <name val="Malgun Gothic"/>
      <b val="1"/>
      <color rgb="00226B3A"/>
      <sz val="18"/>
    </font>
    <font>
      <name val="Malgun Gothic"/>
      <color rgb="005C6B62"/>
      <sz val="10"/>
    </font>
    <font>
      <name val="Malgun Gothic"/>
      <color rgb="0038463E"/>
      <sz val="10"/>
    </font>
    <font>
      <name val="Malgun Gothic"/>
      <b val="1"/>
      <color rgb="00226B3A"/>
      <sz val="12"/>
    </font>
    <font>
      <name val="Malgun Gothic"/>
      <color rgb="001C2A22"/>
      <sz val="10"/>
    </font>
    <font>
      <name val="Malgun Gothic"/>
      <b val="1"/>
      <color rgb="00FFFFFF"/>
      <sz val="10"/>
    </font>
    <font>
      <name val="Malgun Gothic"/>
      <b val="1"/>
      <color rgb="00226B3A"/>
      <sz val="16"/>
    </font>
    <font>
      <name val="Malgun Gothic"/>
      <b val="1"/>
      <color rgb="00FFFFFF"/>
      <sz val="11"/>
    </font>
    <font>
      <name val="Malgun Gothic"/>
      <b val="1"/>
      <color rgb="00226B3A"/>
      <sz val="10"/>
    </font>
    <font>
      <name val="Malgun Gothic"/>
      <b val="1"/>
      <color rgb="00B84872"/>
      <sz val="10"/>
    </font>
    <font>
      <name val="Malgun Gothic"/>
      <b val="1"/>
      <color rgb="000000FF"/>
      <sz val="10"/>
    </font>
    <font>
      <name val="Malgun Gothic"/>
      <color rgb="008B9890"/>
      <sz val="10"/>
    </font>
    <font>
      <name val="Malgun Gothic"/>
      <b val="1"/>
      <color rgb="0038463E"/>
      <sz val="10"/>
    </font>
    <font>
      <name val="Malgun Gothic"/>
      <b val="1"/>
      <color rgb="00226B3A"/>
      <sz val="20"/>
    </font>
    <font>
      <name val="Malgun Gothic"/>
      <b val="1"/>
      <color rgb="005C6B62"/>
      <sz val="10"/>
    </font>
    <font>
      <name val="Malgun Gothic"/>
      <b val="1"/>
      <color rgb="001C2A22"/>
      <sz val="10"/>
    </font>
  </fonts>
  <fills count="6">
    <fill>
      <patternFill/>
    </fill>
    <fill>
      <patternFill patternType="gray125"/>
    </fill>
    <fill>
      <patternFill patternType="solid">
        <fgColor rgb="002F8F4E"/>
      </patternFill>
    </fill>
    <fill>
      <patternFill patternType="solid">
        <fgColor rgb="00FFF3B0"/>
      </patternFill>
    </fill>
    <fill>
      <patternFill patternType="solid">
        <fgColor rgb="00226B3A"/>
      </patternFill>
    </fill>
    <fill>
      <patternFill patternType="solid">
        <fgColor rgb="00EEF7F0"/>
      </patternFill>
    </fill>
  </fills>
  <borders count="2">
    <border>
      <left/>
      <right/>
      <top/>
      <bottom/>
      <diagonal/>
    </border>
    <border>
      <left style="thin">
        <color rgb="00D2DDD2"/>
      </left>
      <right style="thin">
        <color rgb="00D2DDD2"/>
      </right>
      <top style="thin">
        <color rgb="00D2DDD2"/>
      </top>
      <bottom style="thin">
        <color rgb="00D2DDD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1" fontId="11" fillId="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5" fontId="6" fillId="2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165" fontId="1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8F4E"/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6" customWidth="1" min="2" max="2"/>
  </cols>
  <sheetData>
    <row r="2">
      <c r="B2" s="1" t="inlineStr">
        <is>
          <t>수사해당가든 운영 원장</t>
        </is>
      </c>
    </row>
    <row r="3">
      <c r="B3" s="2" t="inlineStr">
        <is>
          <t>재고 · 매입/매출 · 협력농가 · 교육을 한 파일에서 관리하는 단일 원장입니다.</t>
        </is>
      </c>
    </row>
    <row r="5">
      <c r="B5" s="3" t="inlineStr"/>
    </row>
    <row r="6">
      <c r="B6" s="4" t="inlineStr">
        <is>
          <t>● 시트 구성</t>
        </is>
      </c>
    </row>
    <row r="7">
      <c r="B7" s="3" t="inlineStr">
        <is>
          <t>① 재고 — 나무를 등록하는 핵심 시트. 대형목은 1주=1행(개체), 묘목은 규격묶음+수량(로트).</t>
        </is>
      </c>
    </row>
    <row r="8">
      <c r="B8" s="3" t="inlineStr">
        <is>
          <t>② 거래 — 매입·매출을 한 표에 기록. 여기 쌓인 데이터가 대시보드로 자동 집계됩니다.</t>
        </is>
      </c>
    </row>
    <row r="9">
      <c r="B9" s="3" t="inlineStr">
        <is>
          <t>③ 협력농가 — 우리가 위탁·매입해 파는 협력 농가 목록.</t>
        </is>
      </c>
    </row>
    <row r="10">
      <c r="B10" s="3" t="inlineStr">
        <is>
          <t>④ 교육 — 교육 회차·인원·시간 기록. 홈페이지 '누적 교육 인원'과 연동 예정.</t>
        </is>
      </c>
    </row>
    <row r="11">
      <c r="B11" s="3" t="inlineStr">
        <is>
          <t>⑤ 대시보드 — 재고 현황·기간별 매출/매입/마진·교육 누계가 자동 계산됩니다.</t>
        </is>
      </c>
    </row>
    <row r="12">
      <c r="B12" s="3" t="inlineStr">
        <is>
          <t>⑥ 견적서 — 품목만 채우면 합계가 자동 계산되는 견적서 양식(인쇄/PDF용).</t>
        </is>
      </c>
    </row>
    <row r="13">
      <c r="B13" s="3" t="inlineStr"/>
    </row>
    <row r="14">
      <c r="B14" s="4" t="inlineStr">
        <is>
          <t>● 사용법</t>
        </is>
      </c>
    </row>
    <row r="15">
      <c r="B15" s="3" t="inlineStr">
        <is>
          <t>1. 이 엑셀 파일을 구글 드라이브에 끌어다 놓으면 구글시트로 열립니다. (또는 엑셀로 바로 사용)</t>
        </is>
      </c>
    </row>
    <row r="16">
      <c r="B16" s="3" t="inlineStr">
        <is>
          <t>2. 재고·거래·교육 시트에 데이터를 계속 추가하세요. 대시보드는 자동으로 갱신됩니다.</t>
        </is>
      </c>
    </row>
    <row r="17">
      <c r="B17" s="3" t="inlineStr">
        <is>
          <t>3. 노란색 칸(대시보드 '기준연도')만 상황에 맞게 바꾸면 기간별 집계가 바뀝니다.</t>
        </is>
      </c>
    </row>
    <row r="18">
      <c r="B18" s="3" t="inlineStr"/>
    </row>
    <row r="19">
      <c r="B19" s="4" t="inlineStr">
        <is>
          <t>● 나무 재고의 원칙 (중요)</t>
        </is>
      </c>
    </row>
    <row r="20">
      <c r="B20" s="3" t="inlineStr">
        <is>
          <t>· 년생으로 규격을 추정하지 않고, R(목대)·수고·지하고를 '실측값'으로 직접 적습니다.</t>
        </is>
      </c>
    </row>
    <row r="21">
      <c r="B21" s="3" t="inlineStr">
        <is>
          <t>· 나무는 자라므로 봄·가을 등 정기적으로 규격과 '최근실측일'을 갱신하세요.</t>
        </is>
      </c>
    </row>
    <row r="22">
      <c r="B22" s="3" t="inlineStr">
        <is>
          <t>· '소유구분'에 자가/협력농가를 구분하면, 협력농가 나무 판매 시 마진 계산의 기초가 됩니다.</t>
        </is>
      </c>
    </row>
    <row r="23">
      <c r="B23" s="3" t="inlineStr"/>
    </row>
    <row r="24">
      <c r="B24" s="4" t="inlineStr">
        <is>
          <t>● 세금계산서 관련 확인 필요</t>
        </is>
      </c>
    </row>
    <row r="25">
      <c r="B25" s="3" t="inlineStr">
        <is>
          <t>· 묘목·화훼 등 미가공 농산물은 부가세 '면세'일 수 있어, 세금계산서가 아니라 '계산서'를 발행합니다.</t>
        </is>
      </c>
    </row>
    <row r="26">
      <c r="B26" s="3" t="inlineStr">
        <is>
          <t>· 원예자재·식재 시공은 과세일 수 있어 겸업이 됩니다. 정확한 구분은 세무사 확인을 권장합니다.</t>
        </is>
      </c>
    </row>
    <row r="27">
      <c r="B27" s="3" t="inlineStr">
        <is>
          <t>· 계산서 발행은 국세청 홈택스(무료·공인)를 이용하세요. 견적서는 이 파일의 '견적서' 시트로 만듭니다.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8F4E"/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7" customWidth="1" min="4" max="4"/>
    <col width="10" customWidth="1" min="5" max="5"/>
    <col width="9" customWidth="1" min="6" max="6"/>
    <col width="9" customWidth="1" min="7" max="7"/>
    <col width="10" customWidth="1" min="8" max="8"/>
    <col width="7" customWidth="1" min="9" max="9"/>
    <col width="8" customWidth="1" min="10" max="10"/>
    <col width="10" customWidth="1" min="11" max="11"/>
    <col width="11" customWidth="1" min="12" max="12"/>
    <col width="10" customWidth="1" min="13" max="13"/>
    <col width="10" customWidth="1" min="14" max="14"/>
    <col width="13" customWidth="1" min="15" max="15"/>
    <col width="14" customWidth="1" min="16" max="16"/>
    <col width="12" customWidth="1" min="17" max="17"/>
    <col width="22" customWidth="1" min="18" max="18"/>
  </cols>
  <sheetData>
    <row r="1">
      <c r="A1" s="5" t="inlineStr">
        <is>
          <t>관리번호</t>
        </is>
      </c>
      <c r="B1" s="5" t="inlineStr">
        <is>
          <t>수종</t>
        </is>
      </c>
      <c r="C1" s="5" t="inlineStr">
        <is>
          <t>관리방식</t>
        </is>
      </c>
      <c r="D1" s="5" t="inlineStr">
        <is>
          <t>수량</t>
        </is>
      </c>
      <c r="E1" s="5" t="inlineStr">
        <is>
          <t>R_목대(cm)</t>
        </is>
      </c>
      <c r="F1" s="5" t="inlineStr">
        <is>
          <t>수고H(m)</t>
        </is>
      </c>
      <c r="G1" s="5" t="inlineStr">
        <is>
          <t>지하고(m)</t>
        </is>
      </c>
      <c r="H1" s="5" t="inlineStr">
        <is>
          <t>수관폭W(m)</t>
        </is>
      </c>
      <c r="I1" s="5" t="inlineStr">
        <is>
          <t>년생</t>
        </is>
      </c>
      <c r="J1" s="5" t="inlineStr">
        <is>
          <t>수형</t>
        </is>
      </c>
      <c r="K1" s="5" t="inlineStr">
        <is>
          <t>소유구분</t>
        </is>
      </c>
      <c r="L1" s="5" t="inlineStr">
        <is>
          <t>농가명</t>
        </is>
      </c>
      <c r="M1" s="5" t="inlineStr">
        <is>
          <t>위치</t>
        </is>
      </c>
      <c r="N1" s="5" t="inlineStr">
        <is>
          <t>상태</t>
        </is>
      </c>
      <c r="O1" s="5" t="inlineStr">
        <is>
          <t>매입가(원)</t>
        </is>
      </c>
      <c r="P1" s="5" t="inlineStr">
        <is>
          <t>희망판매가(원)</t>
        </is>
      </c>
      <c r="Q1" s="5" t="inlineStr">
        <is>
          <t>최근실측일</t>
        </is>
      </c>
      <c r="R1" s="5" t="inlineStr">
        <is>
          <t>비고</t>
        </is>
      </c>
    </row>
    <row r="2">
      <c r="A2" s="6" t="inlineStr">
        <is>
          <t>SH-2026-001</t>
        </is>
      </c>
      <c r="B2" s="6" t="inlineStr">
        <is>
          <t>수사해당화</t>
        </is>
      </c>
      <c r="C2" s="6" t="inlineStr">
        <is>
          <t>개체</t>
        </is>
      </c>
      <c r="D2" s="7" t="n">
        <v>1</v>
      </c>
      <c r="E2" s="7" t="n">
        <v>12</v>
      </c>
      <c r="F2" s="7" t="n">
        <v>3</v>
      </c>
      <c r="G2" s="7" t="n">
        <v>0.4</v>
      </c>
      <c r="H2" s="7" t="n">
        <v>1.8</v>
      </c>
      <c r="I2" s="7" t="n"/>
      <c r="J2" s="6" t="inlineStr">
        <is>
          <t>외목대</t>
        </is>
      </c>
      <c r="K2" s="6" t="inlineStr">
        <is>
          <t>자가</t>
        </is>
      </c>
      <c r="L2" s="6" t="n"/>
      <c r="M2" s="6" t="inlineStr">
        <is>
          <t>3번밭</t>
        </is>
      </c>
      <c r="N2" s="6" t="inlineStr">
        <is>
          <t>판매가능</t>
        </is>
      </c>
      <c r="O2" s="8" t="n"/>
      <c r="P2" s="8" t="n"/>
      <c r="Q2" s="9" t="n">
        <v>46096</v>
      </c>
      <c r="R2" s="6" t="inlineStr">
        <is>
          <t>대형 조경수급 · 견적</t>
        </is>
      </c>
    </row>
    <row r="3">
      <c r="A3" s="6" t="inlineStr">
        <is>
          <t>SH-2026-002</t>
        </is>
      </c>
      <c r="B3" s="6" t="inlineStr">
        <is>
          <t>수사해당화</t>
        </is>
      </c>
      <c r="C3" s="6" t="inlineStr">
        <is>
          <t>개체</t>
        </is>
      </c>
      <c r="D3" s="7" t="n">
        <v>1</v>
      </c>
      <c r="E3" s="7" t="n">
        <v>11</v>
      </c>
      <c r="F3" s="7" t="n">
        <v>2.8</v>
      </c>
      <c r="G3" s="7" t="n">
        <v>0.3</v>
      </c>
      <c r="H3" s="7" t="n">
        <v>1.7</v>
      </c>
      <c r="I3" s="7" t="n"/>
      <c r="J3" s="6" t="inlineStr">
        <is>
          <t>다간</t>
        </is>
      </c>
      <c r="K3" s="6" t="inlineStr">
        <is>
          <t>자가</t>
        </is>
      </c>
      <c r="L3" s="6" t="n"/>
      <c r="M3" s="6" t="inlineStr">
        <is>
          <t>3번밭</t>
        </is>
      </c>
      <c r="N3" s="6" t="inlineStr">
        <is>
          <t>판매가능</t>
        </is>
      </c>
      <c r="O3" s="8" t="n"/>
      <c r="P3" s="8" t="n"/>
      <c r="Q3" s="9" t="n">
        <v>46096</v>
      </c>
      <c r="R3" s="6" t="inlineStr">
        <is>
          <t>다간 성목 · 견적</t>
        </is>
      </c>
    </row>
    <row r="4">
      <c r="A4" s="6" t="inlineStr">
        <is>
          <t>SH-2026-003</t>
        </is>
      </c>
      <c r="B4" s="6" t="inlineStr">
        <is>
          <t>수사해당화</t>
        </is>
      </c>
      <c r="C4" s="6" t="inlineStr">
        <is>
          <t>개체</t>
        </is>
      </c>
      <c r="D4" s="7" t="n">
        <v>1</v>
      </c>
      <c r="E4" s="7" t="n">
        <v>9</v>
      </c>
      <c r="F4" s="7" t="n">
        <v>2.4</v>
      </c>
      <c r="G4" s="7" t="n">
        <v>0.5</v>
      </c>
      <c r="H4" s="7" t="n">
        <v>1.4</v>
      </c>
      <c r="I4" s="7" t="n"/>
      <c r="J4" s="6" t="inlineStr">
        <is>
          <t>외목대</t>
        </is>
      </c>
      <c r="K4" s="6" t="inlineStr">
        <is>
          <t>자가</t>
        </is>
      </c>
      <c r="L4" s="6" t="n"/>
      <c r="M4" s="6" t="inlineStr">
        <is>
          <t>2번밭</t>
        </is>
      </c>
      <c r="N4" s="6" t="inlineStr">
        <is>
          <t>판매가능</t>
        </is>
      </c>
      <c r="O4" s="8" t="n"/>
      <c r="P4" s="8" t="n">
        <v>180000</v>
      </c>
      <c r="Q4" s="9" t="n">
        <v>46096</v>
      </c>
      <c r="R4" s="6" t="inlineStr">
        <is>
          <t>정원목</t>
        </is>
      </c>
    </row>
    <row r="5">
      <c r="A5" s="6" t="inlineStr">
        <is>
          <t>SH-2026-004</t>
        </is>
      </c>
      <c r="B5" s="6" t="inlineStr">
        <is>
          <t>수사해당화</t>
        </is>
      </c>
      <c r="C5" s="6" t="inlineStr">
        <is>
          <t>개체</t>
        </is>
      </c>
      <c r="D5" s="7" t="n">
        <v>1</v>
      </c>
      <c r="E5" s="7" t="n">
        <v>8</v>
      </c>
      <c r="F5" s="7" t="n">
        <v>2.2</v>
      </c>
      <c r="G5" s="7" t="n">
        <v>0.3</v>
      </c>
      <c r="H5" s="7" t="n">
        <v>1.5</v>
      </c>
      <c r="I5" s="7" t="n"/>
      <c r="J5" s="6" t="inlineStr">
        <is>
          <t>다간</t>
        </is>
      </c>
      <c r="K5" s="6" t="inlineStr">
        <is>
          <t>협력농가</t>
        </is>
      </c>
      <c r="L5" s="6" t="inlineStr">
        <is>
          <t>예산농원</t>
        </is>
      </c>
      <c r="M5" s="6" t="inlineStr">
        <is>
          <t>예산농원</t>
        </is>
      </c>
      <c r="N5" s="6" t="inlineStr">
        <is>
          <t>판매가능</t>
        </is>
      </c>
      <c r="O5" s="8" t="n">
        <v>120000</v>
      </c>
      <c r="P5" s="8" t="n">
        <v>160000</v>
      </c>
      <c r="Q5" s="9" t="n">
        <v>46091</v>
      </c>
      <c r="R5" s="6" t="inlineStr">
        <is>
          <t>위탁 판매</t>
        </is>
      </c>
    </row>
    <row r="6">
      <c r="A6" s="6" t="inlineStr">
        <is>
          <t>SH-2026-005</t>
        </is>
      </c>
      <c r="B6" s="6" t="inlineStr">
        <is>
          <t>수사해당화</t>
        </is>
      </c>
      <c r="C6" s="6" t="inlineStr">
        <is>
          <t>개체</t>
        </is>
      </c>
      <c r="D6" s="7" t="n">
        <v>1</v>
      </c>
      <c r="E6" s="7" t="n">
        <v>6</v>
      </c>
      <c r="F6" s="7" t="n">
        <v>1.8</v>
      </c>
      <c r="G6" s="7" t="n">
        <v>0.4</v>
      </c>
      <c r="H6" s="7" t="n">
        <v>1.1</v>
      </c>
      <c r="I6" s="7" t="n"/>
      <c r="J6" s="6" t="inlineStr">
        <is>
          <t>외목대</t>
        </is>
      </c>
      <c r="K6" s="6" t="inlineStr">
        <is>
          <t>자가</t>
        </is>
      </c>
      <c r="L6" s="6" t="n"/>
      <c r="M6" s="6" t="inlineStr">
        <is>
          <t>1번밭</t>
        </is>
      </c>
      <c r="N6" s="6" t="inlineStr">
        <is>
          <t>판매가능</t>
        </is>
      </c>
      <c r="O6" s="8" t="n"/>
      <c r="P6" s="8" t="n">
        <v>90000</v>
      </c>
      <c r="Q6" s="9" t="n">
        <v>46096</v>
      </c>
      <c r="R6" s="6" t="inlineStr">
        <is>
          <t>마당목 인기규격</t>
        </is>
      </c>
    </row>
    <row r="7">
      <c r="A7" s="6" t="inlineStr">
        <is>
          <t>SH-2026-101</t>
        </is>
      </c>
      <c r="B7" s="6" t="inlineStr">
        <is>
          <t>수사해당화</t>
        </is>
      </c>
      <c r="C7" s="6" t="inlineStr">
        <is>
          <t>로트</t>
        </is>
      </c>
      <c r="D7" s="7" t="n">
        <v>30</v>
      </c>
      <c r="E7" s="7" t="n">
        <v>5</v>
      </c>
      <c r="F7" s="7" t="n">
        <v>1.6</v>
      </c>
      <c r="G7" s="7" t="n">
        <v>0.2</v>
      </c>
      <c r="H7" s="7" t="n">
        <v>0.9</v>
      </c>
      <c r="I7" s="7" t="n"/>
      <c r="J7" s="6" t="inlineStr">
        <is>
          <t>다간</t>
        </is>
      </c>
      <c r="K7" s="6" t="inlineStr">
        <is>
          <t>자가</t>
        </is>
      </c>
      <c r="L7" s="6" t="n"/>
      <c r="M7" s="6" t="inlineStr">
        <is>
          <t>묘목장</t>
        </is>
      </c>
      <c r="N7" s="6" t="inlineStr">
        <is>
          <t>판매가능</t>
        </is>
      </c>
      <c r="O7" s="8" t="n"/>
      <c r="P7" s="8" t="n">
        <v>70000</v>
      </c>
      <c r="Q7" s="9" t="n">
        <v>46101</v>
      </c>
      <c r="R7" s="6" t="inlineStr">
        <is>
          <t>입문용 다간 묘목</t>
        </is>
      </c>
    </row>
    <row r="8">
      <c r="A8" s="6" t="inlineStr">
        <is>
          <t>SH-2026-102</t>
        </is>
      </c>
      <c r="B8" s="6" t="inlineStr">
        <is>
          <t>수사해당화</t>
        </is>
      </c>
      <c r="C8" s="6" t="inlineStr">
        <is>
          <t>로트</t>
        </is>
      </c>
      <c r="D8" s="7" t="n">
        <v>0</v>
      </c>
      <c r="E8" s="7" t="n">
        <v>3</v>
      </c>
      <c r="F8" s="7" t="n">
        <v>1.2</v>
      </c>
      <c r="G8" s="7" t="n">
        <v>0.2</v>
      </c>
      <c r="H8" s="7" t="n">
        <v>0.7</v>
      </c>
      <c r="I8" s="7" t="n"/>
      <c r="J8" s="6" t="inlineStr">
        <is>
          <t>외목대</t>
        </is>
      </c>
      <c r="K8" s="6" t="inlineStr">
        <is>
          <t>자가</t>
        </is>
      </c>
      <c r="L8" s="6" t="n"/>
      <c r="M8" s="6" t="inlineStr">
        <is>
          <t>묘목장</t>
        </is>
      </c>
      <c r="N8" s="6" t="inlineStr">
        <is>
          <t>품절</t>
        </is>
      </c>
      <c r="O8" s="8" t="n"/>
      <c r="P8" s="8" t="n">
        <v>35000</v>
      </c>
      <c r="Q8" s="9" t="n">
        <v>46101</v>
      </c>
      <c r="R8" s="6" t="inlineStr">
        <is>
          <t>소형 묘목 · 다음시즌 예약</t>
        </is>
      </c>
    </row>
    <row r="9">
      <c r="A9" s="6" t="inlineStr">
        <is>
          <t>SH-2026-103</t>
        </is>
      </c>
      <c r="B9" s="6" t="inlineStr">
        <is>
          <t>수사해당화</t>
        </is>
      </c>
      <c r="C9" s="6" t="inlineStr">
        <is>
          <t>로트</t>
        </is>
      </c>
      <c r="D9" s="7" t="n">
        <v>40</v>
      </c>
      <c r="E9" s="7" t="n">
        <v>6</v>
      </c>
      <c r="F9" s="7" t="n">
        <v>1.8</v>
      </c>
      <c r="G9" s="7" t="n">
        <v>0.3</v>
      </c>
      <c r="H9" s="7" t="n">
        <v>1</v>
      </c>
      <c r="I9" s="7" t="n"/>
      <c r="J9" s="6" t="inlineStr">
        <is>
          <t>혼합</t>
        </is>
      </c>
      <c r="K9" s="6" t="inlineStr">
        <is>
          <t>협력농가</t>
        </is>
      </c>
      <c r="L9" s="6" t="inlineStr">
        <is>
          <t>○○농가</t>
        </is>
      </c>
      <c r="M9" s="6" t="inlineStr">
        <is>
          <t>○○농가</t>
        </is>
      </c>
      <c r="N9" s="6" t="inlineStr">
        <is>
          <t>예약</t>
        </is>
      </c>
      <c r="O9" s="8" t="n"/>
      <c r="P9" s="8" t="n"/>
      <c r="Q9" s="9" t="n">
        <v>46091</v>
      </c>
      <c r="R9" s="6" t="inlineStr">
        <is>
          <t>봄 예약분양 모둠 · 견적</t>
        </is>
      </c>
    </row>
  </sheetData>
  <autoFilter ref="A1:R1"/>
  <dataValidations count="4">
    <dataValidation sqref="C2:C300" showDropDown="0" showInputMessage="0" showErrorMessage="0" allowBlank="1" type="list">
      <formula1>"개체,로트"</formula1>
    </dataValidation>
    <dataValidation sqref="J2:J300" showDropDown="0" showInputMessage="0" showErrorMessage="0" allowBlank="1" type="list">
      <formula1>"외목대,다간,혼합,기타"</formula1>
    </dataValidation>
    <dataValidation sqref="K2:K300" showDropDown="0" showInputMessage="0" showErrorMessage="0" allowBlank="1" type="list">
      <formula1>"자가,협력농가"</formula1>
    </dataValidation>
    <dataValidation sqref="N2:N300" showDropDown="0" showInputMessage="0" showErrorMessage="0" allowBlank="1" type="list">
      <formula1>"판매가능,예약,굴취대기,출고완료,품절"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6B3A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26" customWidth="1" min="4" max="4"/>
    <col width="7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0" customWidth="1" min="11" max="11"/>
    <col width="18" customWidth="1" min="12" max="12"/>
  </cols>
  <sheetData>
    <row r="1">
      <c r="A1" s="5" t="inlineStr">
        <is>
          <t>거래일</t>
        </is>
      </c>
      <c r="B1" s="5" t="inlineStr">
        <is>
          <t>구분</t>
        </is>
      </c>
      <c r="C1" s="5" t="inlineStr">
        <is>
          <t>관리번호</t>
        </is>
      </c>
      <c r="D1" s="5" t="inlineStr">
        <is>
          <t>품목명</t>
        </is>
      </c>
      <c r="E1" s="5" t="inlineStr">
        <is>
          <t>수량</t>
        </is>
      </c>
      <c r="F1" s="5" t="inlineStr">
        <is>
          <t>단가(원)</t>
        </is>
      </c>
      <c r="G1" s="5" t="inlineStr">
        <is>
          <t>금액(원)</t>
        </is>
      </c>
      <c r="H1" s="5" t="inlineStr">
        <is>
          <t>거래처</t>
        </is>
      </c>
      <c r="I1" s="5" t="inlineStr">
        <is>
          <t>채널</t>
        </is>
      </c>
      <c r="J1" s="5" t="inlineStr">
        <is>
          <t>결제상태</t>
        </is>
      </c>
      <c r="K1" s="5" t="inlineStr">
        <is>
          <t>계산서</t>
        </is>
      </c>
      <c r="L1" s="5" t="inlineStr">
        <is>
          <t>비고</t>
        </is>
      </c>
    </row>
    <row r="2">
      <c r="A2" s="9" t="n">
        <v>46101</v>
      </c>
      <c r="B2" s="6" t="inlineStr">
        <is>
          <t>매출</t>
        </is>
      </c>
      <c r="C2" s="6" t="inlineStr">
        <is>
          <t>SH-2026-003</t>
        </is>
      </c>
      <c r="D2" s="6" t="inlineStr">
        <is>
          <t>수사해당화 R9 정원목</t>
        </is>
      </c>
      <c r="E2" s="7" t="n">
        <v>1</v>
      </c>
      <c r="F2" s="8" t="n">
        <v>180000</v>
      </c>
      <c r="G2" s="8">
        <f>E2*F2</f>
        <v/>
      </c>
      <c r="H2" s="6" t="inlineStr">
        <is>
          <t>김○○</t>
        </is>
      </c>
      <c r="I2" s="6" t="inlineStr">
        <is>
          <t>전화</t>
        </is>
      </c>
      <c r="J2" s="6" t="inlineStr">
        <is>
          <t>완료</t>
        </is>
      </c>
      <c r="K2" s="6" t="inlineStr">
        <is>
          <t>미발행</t>
        </is>
      </c>
      <c r="L2" s="6" t="inlineStr">
        <is>
          <t>마당 식재</t>
        </is>
      </c>
    </row>
    <row r="3">
      <c r="A3" s="9" t="n">
        <v>46106</v>
      </c>
      <c r="B3" s="6" t="inlineStr">
        <is>
          <t>매입</t>
        </is>
      </c>
      <c r="C3" s="6" t="inlineStr">
        <is>
          <t>SH-2026-004</t>
        </is>
      </c>
      <c r="D3" s="6" t="inlineStr">
        <is>
          <t>수사해당화 R8 다간(예산농원)</t>
        </is>
      </c>
      <c r="E3" s="7" t="n">
        <v>1</v>
      </c>
      <c r="F3" s="8" t="n">
        <v>120000</v>
      </c>
      <c r="G3" s="8">
        <f>E3*F3</f>
        <v/>
      </c>
      <c r="H3" s="6" t="inlineStr">
        <is>
          <t>예산농원</t>
        </is>
      </c>
      <c r="I3" s="6" t="inlineStr">
        <is>
          <t>현장</t>
        </is>
      </c>
      <c r="J3" s="6" t="inlineStr">
        <is>
          <t>완료</t>
        </is>
      </c>
      <c r="K3" s="6" t="inlineStr">
        <is>
          <t>해당없음</t>
        </is>
      </c>
      <c r="L3" s="6" t="inlineStr">
        <is>
          <t>위탁 매입</t>
        </is>
      </c>
    </row>
    <row r="4">
      <c r="A4" s="9" t="n">
        <v>46117</v>
      </c>
      <c r="B4" s="6" t="inlineStr">
        <is>
          <t>매출</t>
        </is>
      </c>
      <c r="C4" s="6" t="inlineStr">
        <is>
          <t>SH-2026-004</t>
        </is>
      </c>
      <c r="D4" s="6" t="inlineStr">
        <is>
          <t>수사해당화 R8 다간</t>
        </is>
      </c>
      <c r="E4" s="7" t="n">
        <v>1</v>
      </c>
      <c r="F4" s="8" t="n">
        <v>160000</v>
      </c>
      <c r="G4" s="8">
        <f>E4*F4</f>
        <v/>
      </c>
      <c r="H4" s="6" t="inlineStr">
        <is>
          <t>이○○</t>
        </is>
      </c>
      <c r="I4" s="6" t="inlineStr">
        <is>
          <t>스마트스토어</t>
        </is>
      </c>
      <c r="J4" s="6" t="inlineStr">
        <is>
          <t>완료</t>
        </is>
      </c>
      <c r="K4" s="6" t="inlineStr">
        <is>
          <t>미발행</t>
        </is>
      </c>
      <c r="L4" s="6" t="n"/>
    </row>
    <row r="5">
      <c r="A5" s="9" t="n">
        <v>46124</v>
      </c>
      <c r="B5" s="6" t="inlineStr">
        <is>
          <t>매출</t>
        </is>
      </c>
      <c r="C5" s="6" t="inlineStr">
        <is>
          <t>SH-2026-005</t>
        </is>
      </c>
      <c r="D5" s="6" t="inlineStr">
        <is>
          <t>수사해당화 R6 마당목</t>
        </is>
      </c>
      <c r="E5" s="7" t="n">
        <v>1</v>
      </c>
      <c r="F5" s="8" t="n">
        <v>90000</v>
      </c>
      <c r="G5" s="8">
        <f>E5*F5</f>
        <v/>
      </c>
      <c r="H5" s="6" t="inlineStr">
        <is>
          <t>박○○</t>
        </is>
      </c>
      <c r="I5" s="6" t="inlineStr">
        <is>
          <t>홈페이지견적</t>
        </is>
      </c>
      <c r="J5" s="6" t="inlineStr">
        <is>
          <t>대기</t>
        </is>
      </c>
      <c r="K5" s="6" t="inlineStr">
        <is>
          <t>미발행</t>
        </is>
      </c>
      <c r="L5" s="6" t="inlineStr">
        <is>
          <t>방문 예정</t>
        </is>
      </c>
    </row>
    <row r="6">
      <c r="A6" s="9" t="n">
        <v>46144</v>
      </c>
      <c r="B6" s="6" t="inlineStr">
        <is>
          <t>매출</t>
        </is>
      </c>
      <c r="C6" s="6" t="inlineStr">
        <is>
          <t>SH-2026-101</t>
        </is>
      </c>
      <c r="D6" s="6" t="inlineStr">
        <is>
          <t>수사해당화 R5 다간 묘목</t>
        </is>
      </c>
      <c r="E6" s="7" t="n">
        <v>5</v>
      </c>
      <c r="F6" s="8" t="n">
        <v>70000</v>
      </c>
      <c r="G6" s="8">
        <f>E6*F6</f>
        <v/>
      </c>
      <c r="H6" s="6" t="inlineStr">
        <is>
          <t>정○○</t>
        </is>
      </c>
      <c r="I6" s="6" t="inlineStr">
        <is>
          <t>현장</t>
        </is>
      </c>
      <c r="J6" s="6" t="inlineStr">
        <is>
          <t>완료</t>
        </is>
      </c>
      <c r="K6" s="6" t="inlineStr">
        <is>
          <t>미발행</t>
        </is>
      </c>
      <c r="L6" s="6" t="n"/>
    </row>
    <row r="7">
      <c r="A7" s="9" t="n">
        <v>46160</v>
      </c>
      <c r="B7" s="6" t="inlineStr">
        <is>
          <t>매출</t>
        </is>
      </c>
      <c r="C7" s="6" t="inlineStr">
        <is>
          <t>SH-2026-003</t>
        </is>
      </c>
      <c r="D7" s="6" t="inlineStr">
        <is>
          <t>수사해당화 R9 정원목</t>
        </is>
      </c>
      <c r="E7" s="7" t="n">
        <v>2</v>
      </c>
      <c r="F7" s="8" t="n">
        <v>180000</v>
      </c>
      <c r="G7" s="8">
        <f>E7*F7</f>
        <v/>
      </c>
      <c r="H7" s="6" t="inlineStr">
        <is>
          <t>○○조경</t>
        </is>
      </c>
      <c r="I7" s="6" t="inlineStr">
        <is>
          <t>전화</t>
        </is>
      </c>
      <c r="J7" s="6" t="inlineStr">
        <is>
          <t>완료</t>
        </is>
      </c>
      <c r="K7" s="6" t="inlineStr">
        <is>
          <t>미발행</t>
        </is>
      </c>
      <c r="L7" s="6" t="inlineStr">
        <is>
          <t>조경 납품</t>
        </is>
      </c>
    </row>
  </sheetData>
  <autoFilter ref="A1:L1"/>
  <dataValidations count="4">
    <dataValidation sqref="B2:B500" showDropDown="0" showInputMessage="0" showErrorMessage="0" allowBlank="1" type="list">
      <formula1>"매입,매출"</formula1>
    </dataValidation>
    <dataValidation sqref="I2:I500" showDropDown="0" showInputMessage="0" showErrorMessage="0" allowBlank="1" type="list">
      <formula1>"스마트스토어,전화,현장,홈페이지견적,기타"</formula1>
    </dataValidation>
    <dataValidation sqref="J2:J500" showDropDown="0" showInputMessage="0" showErrorMessage="0" allowBlank="1" type="list">
      <formula1>"완료,대기,미수"</formula1>
    </dataValidation>
    <dataValidation sqref="K2:K500" showDropDown="0" showInputMessage="0" showErrorMessage="0" allowBlank="1" type="list">
      <formula1>"발행,미발행,해당없음"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9890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5" t="inlineStr">
        <is>
          <t>농가명</t>
        </is>
      </c>
      <c r="B1" s="5" t="inlineStr">
        <is>
          <t>대표</t>
        </is>
      </c>
      <c r="C1" s="5" t="inlineStr">
        <is>
          <t>연락처</t>
        </is>
      </c>
      <c r="D1" s="5" t="inlineStr">
        <is>
          <t>지역</t>
        </is>
      </c>
      <c r="E1" s="5" t="inlineStr">
        <is>
          <t>주요 수종·규격</t>
        </is>
      </c>
      <c r="F1" s="5" t="inlineStr">
        <is>
          <t>정산방식</t>
        </is>
      </c>
      <c r="G1" s="5" t="inlineStr">
        <is>
          <t>비고</t>
        </is>
      </c>
    </row>
    <row r="2">
      <c r="A2" s="6" t="inlineStr">
        <is>
          <t>예산농원</t>
        </is>
      </c>
      <c r="B2" s="6" t="inlineStr">
        <is>
          <t>박○○</t>
        </is>
      </c>
      <c r="C2" s="6" t="inlineStr">
        <is>
          <t>010-0000-0000</t>
        </is>
      </c>
      <c r="D2" s="6" t="inlineStr">
        <is>
          <t>충남 예산</t>
        </is>
      </c>
      <c r="E2" s="6" t="inlineStr">
        <is>
          <t>수사해당화 R8~R12</t>
        </is>
      </c>
      <c r="F2" s="6" t="inlineStr">
        <is>
          <t>위탁</t>
        </is>
      </c>
      <c r="G2" s="6" t="inlineStr">
        <is>
          <t>대형목 중심</t>
        </is>
      </c>
    </row>
    <row r="3">
      <c r="A3" s="6" t="inlineStr">
        <is>
          <t>○○농가</t>
        </is>
      </c>
      <c r="B3" s="6" t="inlineStr">
        <is>
          <t>김○○</t>
        </is>
      </c>
      <c r="C3" s="6" t="inlineStr">
        <is>
          <t>010-0000-0000</t>
        </is>
      </c>
      <c r="D3" s="6" t="inlineStr">
        <is>
          <t>충남 홍성</t>
        </is>
      </c>
      <c r="E3" s="6" t="inlineStr">
        <is>
          <t>수사해당화 묘목·소형</t>
        </is>
      </c>
      <c r="F3" s="6" t="inlineStr">
        <is>
          <t>매입</t>
        </is>
      </c>
      <c r="G3" s="6" t="inlineStr">
        <is>
          <t>묘목 다량</t>
        </is>
      </c>
    </row>
  </sheetData>
  <dataValidations count="1">
    <dataValidation sqref="F2:F200" showDropDown="0" showInputMessage="0" showErrorMessage="0" allowBlank="1" type="list">
      <formula1>"위탁,매입"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9B32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9" customWidth="1" min="4" max="4"/>
    <col width="8" customWidth="1" min="5" max="5"/>
    <col width="10" customWidth="1" min="6" max="6"/>
    <col width="8" customWidth="1" min="7" max="7"/>
    <col width="11" customWidth="1" min="8" max="8"/>
    <col width="24" customWidth="1" min="9" max="9"/>
    <col width="20" customWidth="1" min="10" max="10"/>
  </cols>
  <sheetData>
    <row r="1">
      <c r="A1" s="5" t="inlineStr">
        <is>
          <t>회차</t>
        </is>
      </c>
      <c r="B1" s="5" t="inlineStr">
        <is>
          <t>날짜</t>
        </is>
      </c>
      <c r="C1" s="5" t="inlineStr">
        <is>
          <t>과정명</t>
        </is>
      </c>
      <c r="D1" s="5" t="inlineStr">
        <is>
          <t>인원(명)</t>
        </is>
      </c>
      <c r="E1" s="5" t="inlineStr">
        <is>
          <t>시간(h)</t>
        </is>
      </c>
      <c r="F1" s="5" t="inlineStr">
        <is>
          <t>대상</t>
        </is>
      </c>
      <c r="G1" s="5" t="inlineStr">
        <is>
          <t>강사</t>
        </is>
      </c>
      <c r="H1" s="5" t="inlineStr">
        <is>
          <t>만족도(1~5)</t>
        </is>
      </c>
      <c r="I1" s="5" t="inlineStr">
        <is>
          <t>블로그링크</t>
        </is>
      </c>
      <c r="J1" s="5" t="inlineStr">
        <is>
          <t>비고</t>
        </is>
      </c>
    </row>
    <row r="2">
      <c r="A2" s="10" t="n">
        <v>1</v>
      </c>
      <c r="B2" s="9" t="n">
        <v>45788</v>
      </c>
      <c r="C2" s="6" t="inlineStr">
        <is>
          <t>식재 교육(초급)</t>
        </is>
      </c>
      <c r="D2" s="10" t="n">
        <v>12</v>
      </c>
      <c r="E2" s="10" t="n">
        <v>3</v>
      </c>
      <c r="F2" s="6" t="inlineStr">
        <is>
          <t>일반</t>
        </is>
      </c>
      <c r="G2" s="6" t="inlineStr">
        <is>
          <t>대표</t>
        </is>
      </c>
      <c r="H2" s="10" t="n">
        <v>4.5</v>
      </c>
      <c r="I2" s="6" t="n"/>
      <c r="J2" s="6" t="inlineStr">
        <is>
          <t>심는 법·물주기·지주대</t>
        </is>
      </c>
    </row>
    <row r="3">
      <c r="A3" s="10" t="n">
        <v>2</v>
      </c>
      <c r="B3" s="9" t="n">
        <v>45802</v>
      </c>
      <c r="C3" s="6" t="inlineStr">
        <is>
          <t>식재 교육(중급)</t>
        </is>
      </c>
      <c r="D3" s="10" t="n">
        <v>8</v>
      </c>
      <c r="E3" s="10" t="n">
        <v>3</v>
      </c>
      <c r="F3" s="6" t="inlineStr">
        <is>
          <t>경험자</t>
        </is>
      </c>
      <c r="G3" s="6" t="inlineStr">
        <is>
          <t>대표</t>
        </is>
      </c>
      <c r="H3" s="10" t="n">
        <v>4.7</v>
      </c>
      <c r="I3" s="6" t="n"/>
      <c r="J3" s="6" t="inlineStr">
        <is>
          <t>수형 관리·전정</t>
        </is>
      </c>
    </row>
    <row r="4">
      <c r="A4" s="10" t="n">
        <v>3</v>
      </c>
      <c r="B4" s="9" t="n">
        <v>46152</v>
      </c>
      <c r="C4" s="6" t="inlineStr">
        <is>
          <t>식재 교육(초급)</t>
        </is>
      </c>
      <c r="D4" s="10" t="n">
        <v>15</v>
      </c>
      <c r="E4" s="10" t="n">
        <v>3</v>
      </c>
      <c r="F4" s="6" t="inlineStr">
        <is>
          <t>일반</t>
        </is>
      </c>
      <c r="G4" s="6" t="inlineStr">
        <is>
          <t>대표</t>
        </is>
      </c>
      <c r="H4" s="10" t="n">
        <v>4.6</v>
      </c>
      <c r="I4" s="6" t="n"/>
      <c r="J4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8F4E"/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1" t="inlineStr">
        <is>
          <t>수사해당가든 운영 대시보드</t>
        </is>
      </c>
    </row>
    <row r="3">
      <c r="B3" s="2" t="inlineStr">
        <is>
          <t>재고·거래·교육 시트에 데이터를 넣으면 아래 숫자가 자동으로 갱신됩니다.</t>
        </is>
      </c>
    </row>
    <row r="5">
      <c r="B5" s="12" t="inlineStr">
        <is>
          <t>■ 재고 현황</t>
        </is>
      </c>
      <c r="C5" s="13" t="n"/>
      <c r="D5" s="13" t="n"/>
      <c r="E5" s="13" t="n"/>
      <c r="F5" s="13" t="n"/>
    </row>
    <row r="6">
      <c r="B6" s="14" t="inlineStr">
        <is>
          <t>총 보유 주수</t>
        </is>
      </c>
      <c r="C6" s="15">
        <f>SUMIFS('재고'!$D:$D,'재고'!$N:$N,"&lt;&gt;출고완료")</f>
        <v/>
      </c>
    </row>
    <row r="7">
      <c r="B7" s="14" t="inlineStr">
        <is>
          <t xml:space="preserve">  ├ 자가 보유</t>
        </is>
      </c>
      <c r="C7" s="15">
        <f>SUMIFS('재고'!$D:$D,'재고'!$N:$N,"&lt;&gt;출고완료",'재고'!$K:$K,"자가")</f>
        <v/>
      </c>
    </row>
    <row r="8">
      <c r="B8" s="14" t="inlineStr">
        <is>
          <t xml:space="preserve">  └ 협력농가 보유</t>
        </is>
      </c>
      <c r="C8" s="15">
        <f>SUMIFS('재고'!$D:$D,'재고'!$N:$N,"&lt;&gt;출고완료",'재고'!$K:$K,"협력농가")</f>
        <v/>
      </c>
    </row>
    <row r="9">
      <c r="B9" s="14" t="inlineStr">
        <is>
          <t>판매가능 주수</t>
        </is>
      </c>
      <c r="C9" s="15">
        <f>SUMIFS('재고'!$D:$D,'재고'!$N:$N,"판매가능")</f>
        <v/>
      </c>
    </row>
    <row r="10">
      <c r="B10" s="14" t="inlineStr">
        <is>
          <t>예약 주수</t>
        </is>
      </c>
      <c r="C10" s="15">
        <f>SUMIFS('재고'!$D:$D,'재고'!$N:$N,"예약")</f>
        <v/>
      </c>
    </row>
    <row r="11">
      <c r="B11" s="14" t="inlineStr">
        <is>
          <t>재고 평가액(희망가 기준)</t>
        </is>
      </c>
      <c r="C11" s="16">
        <f>SUMPRODUCT(('재고'!$N$2:$N$300&lt;&gt;"출고완료")*'재고'!$D$2:$D$300*IFERROR('재고'!$P$2:$P$300,0))</f>
        <v/>
      </c>
    </row>
    <row r="13">
      <c r="B13" s="17" t="inlineStr">
        <is>
          <t>기준연도 →</t>
        </is>
      </c>
      <c r="C13" s="18" t="n">
        <v>2026</v>
      </c>
      <c r="D13" s="19" t="inlineStr">
        <is>
          <t>◀ 이 칸만 바꾸면 기간별 집계가 바뀝니다</t>
        </is>
      </c>
    </row>
    <row r="15">
      <c r="B15" s="12" t="inlineStr">
        <is>
          <t>■ 매출 · 매입 · 마진</t>
        </is>
      </c>
      <c r="C15" s="13" t="n"/>
      <c r="D15" s="13" t="n"/>
      <c r="E15" s="13" t="n"/>
      <c r="F15" s="13" t="n"/>
    </row>
    <row r="16">
      <c r="B16" s="20" t="inlineStr">
        <is>
          <t>구분</t>
        </is>
      </c>
      <c r="C16" s="20" t="inlineStr">
        <is>
          <t>매출(원)</t>
        </is>
      </c>
      <c r="D16" s="20" t="inlineStr">
        <is>
          <t>매입(원)</t>
        </is>
      </c>
      <c r="E16" s="20" t="inlineStr">
        <is>
          <t>마진(원)</t>
        </is>
      </c>
    </row>
    <row r="17">
      <c r="B17" s="21" t="inlineStr">
        <is>
          <t>1분기</t>
        </is>
      </c>
      <c r="C17" s="22">
        <f>SUMIFS('거래'!$G:$G,'거래'!$B:$B,"매출",'거래'!$A:$A,"&gt;="&amp;DATE($C$13,1,1),'거래'!$A:$A,"&lt;="&amp;DATE($C$13,3,31))</f>
        <v/>
      </c>
      <c r="D17" s="22">
        <f>SUMIFS('거래'!$G:$G,'거래'!$B:$B,"매입",'거래'!$A:$A,"&gt;="&amp;DATE($C$13,1,1),'거래'!$A:$A,"&lt;="&amp;DATE($C$13,3,31))</f>
        <v/>
      </c>
      <c r="E17" s="16">
        <f>C17-D17</f>
        <v/>
      </c>
    </row>
    <row r="18">
      <c r="B18" s="21" t="inlineStr">
        <is>
          <t>2분기</t>
        </is>
      </c>
      <c r="C18" s="22">
        <f>SUMIFS('거래'!$G:$G,'거래'!$B:$B,"매출",'거래'!$A:$A,"&gt;="&amp;DATE($C$13,4,1),'거래'!$A:$A,"&lt;="&amp;DATE($C$13,6,30))</f>
        <v/>
      </c>
      <c r="D18" s="22">
        <f>SUMIFS('거래'!$G:$G,'거래'!$B:$B,"매입",'거래'!$A:$A,"&gt;="&amp;DATE($C$13,4,1),'거래'!$A:$A,"&lt;="&amp;DATE($C$13,6,30))</f>
        <v/>
      </c>
      <c r="E18" s="16">
        <f>C18-D18</f>
        <v/>
      </c>
    </row>
    <row r="19">
      <c r="B19" s="21" t="inlineStr">
        <is>
          <t>3분기</t>
        </is>
      </c>
      <c r="C19" s="22">
        <f>SUMIFS('거래'!$G:$G,'거래'!$B:$B,"매출",'거래'!$A:$A,"&gt;="&amp;DATE($C$13,7,1),'거래'!$A:$A,"&lt;="&amp;DATE($C$13,9,30))</f>
        <v/>
      </c>
      <c r="D19" s="22">
        <f>SUMIFS('거래'!$G:$G,'거래'!$B:$B,"매입",'거래'!$A:$A,"&gt;="&amp;DATE($C$13,7,1),'거래'!$A:$A,"&lt;="&amp;DATE($C$13,9,30))</f>
        <v/>
      </c>
      <c r="E19" s="16">
        <f>C19-D19</f>
        <v/>
      </c>
    </row>
    <row r="20">
      <c r="B20" s="21" t="inlineStr">
        <is>
          <t>4분기</t>
        </is>
      </c>
      <c r="C20" s="22">
        <f>SUMIFS('거래'!$G:$G,'거래'!$B:$B,"매출",'거래'!$A:$A,"&gt;="&amp;DATE($C$13,10,1),'거래'!$A:$A,"&lt;="&amp;DATE($C$13,12,31))</f>
        <v/>
      </c>
      <c r="D20" s="22">
        <f>SUMIFS('거래'!$G:$G,'거래'!$B:$B,"매입",'거래'!$A:$A,"&gt;="&amp;DATE($C$13,10,1),'거래'!$A:$A,"&lt;="&amp;DATE($C$13,12,31))</f>
        <v/>
      </c>
      <c r="E20" s="16">
        <f>C20-D20</f>
        <v/>
      </c>
    </row>
    <row r="21">
      <c r="B21" s="23" t="inlineStr">
        <is>
          <t>상반기</t>
        </is>
      </c>
      <c r="C21" s="22">
        <f>C17+C18</f>
        <v/>
      </c>
      <c r="D21" s="22">
        <f>D17+D18</f>
        <v/>
      </c>
      <c r="E21" s="16">
        <f>C21-D21</f>
        <v/>
      </c>
    </row>
    <row r="22">
      <c r="B22" s="23" t="inlineStr">
        <is>
          <t>하반기</t>
        </is>
      </c>
      <c r="C22" s="22">
        <f>C19+C20</f>
        <v/>
      </c>
      <c r="D22" s="22">
        <f>D19+D20</f>
        <v/>
      </c>
      <c r="E22" s="16">
        <f>C22-D22</f>
        <v/>
      </c>
    </row>
    <row r="23">
      <c r="B23" s="24" t="inlineStr">
        <is>
          <t>연간 합계</t>
        </is>
      </c>
      <c r="C23" s="25">
        <f>SUM(C17:C20)</f>
        <v/>
      </c>
      <c r="D23" s="25">
        <f>SUM(D17:D20)</f>
        <v/>
      </c>
      <c r="E23" s="25">
        <f>C23-D23</f>
        <v/>
      </c>
    </row>
    <row r="25">
      <c r="B25" s="12" t="inlineStr">
        <is>
          <t>■ 교육 누계 (홈페이지 연동 대상)</t>
        </is>
      </c>
      <c r="C25" s="13" t="n"/>
      <c r="D25" s="13" t="n"/>
      <c r="E25" s="13" t="n"/>
      <c r="F25" s="13" t="n"/>
    </row>
    <row r="26">
      <c r="B26" s="14" t="inlineStr">
        <is>
          <t>누적 교육 회차</t>
        </is>
      </c>
      <c r="C26" s="15">
        <f>COUNT('교육'!$B:$B)</f>
        <v/>
      </c>
    </row>
    <row r="27">
      <c r="B27" s="14" t="inlineStr">
        <is>
          <t>누적 교육 인원</t>
        </is>
      </c>
      <c r="C27" s="15">
        <f>SUM('교육'!$D:$D)</f>
        <v/>
      </c>
    </row>
    <row r="28">
      <c r="B28" s="14" t="inlineStr">
        <is>
          <t>누적 교육 시간(h)</t>
        </is>
      </c>
      <c r="C28" s="15">
        <f>SUM('교육'!$E:$E)</f>
        <v/>
      </c>
    </row>
    <row r="29">
      <c r="B29" s="14" t="inlineStr">
        <is>
          <t>평균 만족도</t>
        </is>
      </c>
      <c r="C29" s="26">
        <f>IFERROR(ROUND(AVERAGE('교육'!$H:$H),1),"-")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BE3ED"/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0" customWidth="1" min="4" max="4"/>
    <col width="10" customWidth="1" min="5" max="5"/>
    <col width="14" customWidth="1" min="6" max="6"/>
    <col width="4" customWidth="1" min="7" max="7"/>
  </cols>
  <sheetData>
    <row r="2">
      <c r="B2" s="27" t="inlineStr">
        <is>
          <t>견  적  서</t>
        </is>
      </c>
    </row>
    <row r="4">
      <c r="B4" s="28" t="inlineStr">
        <is>
          <t>[공급자]</t>
        </is>
      </c>
    </row>
    <row r="5">
      <c r="B5" s="29" t="inlineStr">
        <is>
          <t>상호</t>
        </is>
      </c>
      <c r="C5" s="30" t="inlineStr">
        <is>
          <t>수사해당가든</t>
        </is>
      </c>
    </row>
    <row r="6">
      <c r="B6" s="29" t="inlineStr">
        <is>
          <t>대표자</t>
        </is>
      </c>
      <c r="C6" s="30" t="inlineStr">
        <is>
          <t>(대표자명)</t>
        </is>
      </c>
    </row>
    <row r="7">
      <c r="B7" s="29" t="inlineStr">
        <is>
          <t>사업자등록번호</t>
        </is>
      </c>
      <c r="C7" s="30" t="inlineStr">
        <is>
          <t>(000-00-00000)</t>
        </is>
      </c>
    </row>
    <row r="8">
      <c r="B8" s="29" t="inlineStr">
        <is>
          <t>주소</t>
        </is>
      </c>
      <c r="C8" s="30" t="inlineStr">
        <is>
          <t>(사업장 주소)</t>
        </is>
      </c>
    </row>
    <row r="9">
      <c r="B9" s="29" t="inlineStr">
        <is>
          <t>연락처</t>
        </is>
      </c>
      <c r="C9" s="30" t="inlineStr">
        <is>
          <t>010-0000-0000</t>
        </is>
      </c>
    </row>
    <row r="11">
      <c r="B11" s="28" t="inlineStr">
        <is>
          <t>[수신]</t>
        </is>
      </c>
    </row>
    <row r="12">
      <c r="B12" s="29" t="inlineStr">
        <is>
          <t>고객명</t>
        </is>
      </c>
      <c r="C12" s="31" t="inlineStr"/>
    </row>
    <row r="13">
      <c r="B13" s="29" t="inlineStr">
        <is>
          <t>연락처</t>
        </is>
      </c>
      <c r="C13" s="31" t="inlineStr"/>
    </row>
    <row r="14">
      <c r="B14" s="29" t="inlineStr">
        <is>
          <t>현장/식재지</t>
        </is>
      </c>
      <c r="C14" s="31" t="inlineStr"/>
    </row>
    <row r="15">
      <c r="B15" s="29" t="inlineStr">
        <is>
          <t>견적일</t>
        </is>
      </c>
      <c r="C15" s="32" t="n">
        <v>46204</v>
      </c>
    </row>
    <row r="17">
      <c r="B17" s="33" t="inlineStr">
        <is>
          <t>품목</t>
        </is>
      </c>
      <c r="C17" s="33" t="inlineStr">
        <is>
          <t>규격</t>
        </is>
      </c>
      <c r="D17" s="33" t="inlineStr">
        <is>
          <t>수량</t>
        </is>
      </c>
      <c r="E17" s="33" t="inlineStr">
        <is>
          <t>단가</t>
        </is>
      </c>
      <c r="F17" s="33" t="inlineStr">
        <is>
          <t>금액</t>
        </is>
      </c>
    </row>
    <row r="18">
      <c r="B18" s="6" t="inlineStr">
        <is>
          <t>수사해당화</t>
        </is>
      </c>
      <c r="C18" s="10" t="inlineStr">
        <is>
          <t>R9 외목대</t>
        </is>
      </c>
      <c r="D18" s="7" t="n">
        <v>2</v>
      </c>
      <c r="E18" s="8" t="n">
        <v>180000</v>
      </c>
      <c r="F18" s="8">
        <f>IF(D18="","",D18*E18)</f>
        <v/>
      </c>
    </row>
    <row r="19">
      <c r="B19" s="6" t="inlineStr">
        <is>
          <t>수사해당화</t>
        </is>
      </c>
      <c r="C19" s="10" t="inlineStr">
        <is>
          <t>R6 외목대</t>
        </is>
      </c>
      <c r="D19" s="7" t="n">
        <v>3</v>
      </c>
      <c r="E19" s="8" t="n">
        <v>90000</v>
      </c>
      <c r="F19" s="8">
        <f>IF(D19="","",D19*E19)</f>
        <v/>
      </c>
    </row>
    <row r="20">
      <c r="B20" s="6" t="inlineStr">
        <is>
          <t>지주대 세트</t>
        </is>
      </c>
      <c r="C20" s="10" t="inlineStr">
        <is>
          <t>자재</t>
        </is>
      </c>
      <c r="D20" s="7" t="n">
        <v>5</v>
      </c>
      <c r="E20" s="8" t="n">
        <v>12000</v>
      </c>
      <c r="F20" s="8">
        <f>IF(D20="","",D20*E20)</f>
        <v/>
      </c>
    </row>
    <row r="21">
      <c r="B21" s="6" t="inlineStr"/>
      <c r="C21" s="10" t="inlineStr"/>
      <c r="D21" s="7" t="inlineStr"/>
      <c r="E21" s="8" t="inlineStr"/>
      <c r="F21" s="8">
        <f>IF(D21="","",D21*E21)</f>
        <v/>
      </c>
    </row>
    <row r="22">
      <c r="B22" s="6" t="inlineStr"/>
      <c r="C22" s="10" t="inlineStr"/>
      <c r="D22" s="7" t="inlineStr"/>
      <c r="E22" s="8" t="inlineStr"/>
      <c r="F22" s="8">
        <f>IF(D22="","",D22*E22)</f>
        <v/>
      </c>
    </row>
    <row r="23">
      <c r="B23" s="6" t="inlineStr"/>
      <c r="C23" s="10" t="inlineStr"/>
      <c r="D23" s="7" t="inlineStr"/>
      <c r="E23" s="8" t="inlineStr"/>
      <c r="F23" s="8">
        <f>IF(D23="","",D23*E23)</f>
        <v/>
      </c>
    </row>
    <row r="24">
      <c r="B24" s="6" t="inlineStr"/>
      <c r="C24" s="10" t="inlineStr"/>
      <c r="D24" s="7" t="inlineStr"/>
      <c r="E24" s="8" t="inlineStr"/>
      <c r="F24" s="8">
        <f>IF(D24="","",D24*E24)</f>
        <v/>
      </c>
    </row>
    <row r="25">
      <c r="B25" s="6" t="inlineStr"/>
      <c r="C25" s="10" t="inlineStr"/>
      <c r="D25" s="7" t="inlineStr"/>
      <c r="E25" s="8" t="inlineStr"/>
      <c r="F25" s="8">
        <f>IF(D25="","",D25*E25)</f>
        <v/>
      </c>
    </row>
    <row r="26">
      <c r="E26" s="34" t="inlineStr">
        <is>
          <t>공급가 합계</t>
        </is>
      </c>
      <c r="F26" s="35">
        <f>SUM(F18:F25)</f>
        <v/>
      </c>
    </row>
    <row r="27">
      <c r="D27" s="36" t="inlineStr">
        <is>
          <t>※면세</t>
        </is>
      </c>
      <c r="E27" s="37" t="inlineStr">
        <is>
          <t>부가세</t>
        </is>
      </c>
      <c r="F27" s="22">
        <f>0</f>
        <v/>
      </c>
    </row>
    <row r="28">
      <c r="E28" s="38" t="inlineStr">
        <is>
          <t>합계 금액</t>
        </is>
      </c>
      <c r="F28" s="25">
        <f>F26+F27</f>
        <v/>
      </c>
    </row>
    <row r="30">
      <c r="B30" s="19" t="inlineStr">
        <is>
          <t>※ 본 견적은 발행일로부터 15일간 유효합니다. 규격·수량·식재 조건에 따라 변동될 수 있습니다.</t>
        </is>
      </c>
    </row>
    <row r="31">
      <c r="B31" s="19" t="inlineStr">
        <is>
          <t>※ 면세/과세 구분 및 부가세는 세무사 확인 후 확정하세요.</t>
        </is>
      </c>
    </row>
  </sheetData>
  <mergeCells count="9">
    <mergeCell ref="C13:F13"/>
    <mergeCell ref="C9:F9"/>
    <mergeCell ref="B2:F2"/>
    <mergeCell ref="C8:F8"/>
    <mergeCell ref="C12:F12"/>
    <mergeCell ref="C6:F6"/>
    <mergeCell ref="C7:F7"/>
    <mergeCell ref="C5:F5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2026-07-01T12:29:51Z</dcterms:created>
  <dcterms:modified xmlns:dcterms="http://purl.org/dc/terms/" xmlns:xsi="http://www.w3.org/2001/XMLSchema-instance" xsi:type="dcterms:W3CDTF">2026-07-01T12:29:51Z</dcterms:modified>
</cp:coreProperties>
</file>